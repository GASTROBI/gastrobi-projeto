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  <sheet xmlns:r="http://schemas.openxmlformats.org/officeDocument/2006/relationships" name="Insumos" sheetId="2" state="visible" r:id="rId2"/>
    <sheet xmlns:r="http://schemas.openxmlformats.org/officeDocument/2006/relationships" name="Ficha Técnica" sheetId="3" state="visible" r:id="rId3"/>
    <sheet xmlns:r="http://schemas.openxmlformats.org/officeDocument/2006/relationships" name="Indicado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</t>
        </is>
      </c>
      <c r="B1" t="inlineStr">
        <is>
          <t>Categoria</t>
        </is>
      </c>
      <c r="C1" t="inlineStr">
        <is>
          <t>Custo (R$)</t>
        </is>
      </c>
      <c r="D1" t="inlineStr">
        <is>
          <t>Preço Venda (R$)</t>
        </is>
      </c>
      <c r="E1" t="inlineStr">
        <is>
          <t>Lucro (R$)</t>
        </is>
      </c>
      <c r="F1" t="inlineStr">
        <is>
          <t>Margem (%)</t>
        </is>
      </c>
      <c r="G1" t="inlineStr">
        <is>
          <t>Preço Sugerido (60%)</t>
        </is>
      </c>
    </row>
    <row r="2">
      <c r="A2" t="inlineStr">
        <is>
          <t>Café Expresso Curto</t>
        </is>
      </c>
      <c r="B2" t="inlineStr">
        <is>
          <t>Bebida quente</t>
        </is>
      </c>
      <c r="C2" t="inlineStr"/>
      <c r="D2" t="inlineStr"/>
      <c r="E2">
        <f>D2-C2</f>
        <v/>
      </c>
      <c r="F2">
        <f>IF(D2&gt;0,(E2/D2)*100,0)</f>
        <v/>
      </c>
      <c r="G2">
        <f>IF(C2&gt;0,C2/(1-0.6),0)</f>
        <v/>
      </c>
    </row>
    <row r="3">
      <c r="A3" t="inlineStr">
        <is>
          <t>Pão de Queijo Tradicional</t>
        </is>
      </c>
      <c r="B3" t="inlineStr">
        <is>
          <t>Salgado</t>
        </is>
      </c>
      <c r="C3" t="inlineStr"/>
      <c r="D3" t="inlineStr"/>
      <c r="E3">
        <f>D3-C3</f>
        <v/>
      </c>
      <c r="F3">
        <f>IF(D3&gt;0,(E3/D3)*100,0)</f>
        <v/>
      </c>
      <c r="G3">
        <f>IF(C3&gt;0,C3/(1-0.6),0)</f>
        <v/>
      </c>
    </row>
    <row r="4">
      <c r="A4" t="inlineStr">
        <is>
          <t>Cappuccino Italiano</t>
        </is>
      </c>
      <c r="B4" t="inlineStr">
        <is>
          <t>Bebida quente</t>
        </is>
      </c>
      <c r="C4" t="inlineStr"/>
      <c r="D4" t="inlineStr"/>
      <c r="E4">
        <f>D4-C4</f>
        <v/>
      </c>
      <c r="F4">
        <f>IF(D4&gt;0,(E4/D4)*100,0)</f>
        <v/>
      </c>
      <c r="G4">
        <f>IF(C4&gt;0,C4/(1-0.6),0)</f>
        <v/>
      </c>
    </row>
    <row r="5">
      <c r="A5" t="inlineStr">
        <is>
          <t>Água com Gás Prata</t>
        </is>
      </c>
      <c r="B5" t="inlineStr">
        <is>
          <t>Bebida fria</t>
        </is>
      </c>
      <c r="C5" t="inlineStr"/>
      <c r="D5" t="inlineStr"/>
      <c r="E5">
        <f>D5-C5</f>
        <v/>
      </c>
      <c r="F5">
        <f>IF(D5&gt;0,(E5/D5)*100,0)</f>
        <v/>
      </c>
      <c r="G5">
        <f>IF(C5&gt;0,C5/(1-0.6),0)</f>
        <v/>
      </c>
    </row>
    <row r="6">
      <c r="A6" t="inlineStr">
        <is>
          <t>Bolo de Cenoura (Fatia)</t>
        </is>
      </c>
      <c r="B6" t="inlineStr">
        <is>
          <t>Sobremesa</t>
        </is>
      </c>
      <c r="C6" t="inlineStr"/>
      <c r="D6" t="inlineStr"/>
      <c r="E6">
        <f>D6-C6</f>
        <v/>
      </c>
      <c r="F6">
        <f>IF(D6&gt;0,(E6/D6)*100,0)</f>
        <v/>
      </c>
      <c r="G6">
        <f>IF(C6&gt;0,C6/(1-0.6),0)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Insumo</t>
        </is>
      </c>
      <c r="B1" t="inlineStr">
        <is>
          <t>Unidade</t>
        </is>
      </c>
      <c r="C1" t="inlineStr">
        <is>
          <t>Custo Unitário (R$)</t>
        </is>
      </c>
      <c r="D1" t="inlineStr">
        <is>
          <t>Observação</t>
        </is>
      </c>
    </row>
    <row r="2">
      <c r="A2" t="inlineStr">
        <is>
          <t>Café</t>
        </is>
      </c>
      <c r="B2" t="inlineStr">
        <is>
          <t>kg</t>
        </is>
      </c>
      <c r="C2" t="inlineStr"/>
      <c r="D2" t="inlineStr"/>
    </row>
    <row r="3">
      <c r="A3" t="inlineStr">
        <is>
          <t>Leite</t>
        </is>
      </c>
      <c r="B3" t="inlineStr">
        <is>
          <t>L</t>
        </is>
      </c>
      <c r="C3" t="inlineStr"/>
      <c r="D3" t="inlineStr"/>
    </row>
    <row r="4">
      <c r="A4" t="inlineStr">
        <is>
          <t>Queijo</t>
        </is>
      </c>
      <c r="B4" t="inlineStr">
        <is>
          <t>kg</t>
        </is>
      </c>
      <c r="C4" t="inlineStr"/>
      <c r="D4" t="inlineStr"/>
    </row>
    <row r="5">
      <c r="A5" t="inlineStr">
        <is>
          <t>Açúcar</t>
        </is>
      </c>
      <c r="B5" t="inlineStr">
        <is>
          <t>kg</t>
        </is>
      </c>
      <c r="C5" t="inlineStr"/>
      <c r="D5" t="inlineStr"/>
    </row>
    <row r="6">
      <c r="A6" t="inlineStr">
        <is>
          <t>Farinha</t>
        </is>
      </c>
      <c r="B6" t="inlineStr">
        <is>
          <t>kg</t>
        </is>
      </c>
      <c r="C6" t="inlineStr"/>
      <c r="D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</t>
        </is>
      </c>
      <c r="B1" t="inlineStr">
        <is>
          <t>Insumo</t>
        </is>
      </c>
      <c r="C1" t="inlineStr">
        <is>
          <t>Quantidade</t>
        </is>
      </c>
      <c r="D1" t="inlineStr">
        <is>
          <t>Custo Calculado</t>
        </is>
      </c>
    </row>
    <row r="2">
      <c r="A2" t="inlineStr">
        <is>
          <t>Café Expresso Curto</t>
        </is>
      </c>
      <c r="B2" t="inlineStr">
        <is>
          <t>Café</t>
        </is>
      </c>
      <c r="C2" t="inlineStr"/>
      <c r="D2" t="inlineStr"/>
    </row>
    <row r="3">
      <c r="A3" t="inlineStr">
        <is>
          <t>Cappuccino Italiano</t>
        </is>
      </c>
      <c r="B3" t="inlineStr">
        <is>
          <t>Café</t>
        </is>
      </c>
      <c r="C3" t="inlineStr"/>
      <c r="D3" t="inlineStr"/>
    </row>
    <row r="4">
      <c r="A4" t="inlineStr">
        <is>
          <t>Cappuccino Italiano</t>
        </is>
      </c>
      <c r="B4" t="inlineStr">
        <is>
          <t>Leite</t>
        </is>
      </c>
      <c r="C4" t="inlineStr"/>
      <c r="D4" t="inlineStr"/>
    </row>
    <row r="5">
      <c r="A5" t="inlineStr">
        <is>
          <t>Pão de Queijo Tradicional</t>
        </is>
      </c>
      <c r="B5" t="inlineStr">
        <is>
          <t>Queijo</t>
        </is>
      </c>
      <c r="C5" t="inlineStr"/>
      <c r="D5" t="inlineStr"/>
    </row>
    <row r="6">
      <c r="A6" t="inlineStr">
        <is>
          <t>Bolo de Cenoura (Fatia)</t>
        </is>
      </c>
      <c r="B6" t="inlineStr">
        <is>
          <t>Farinha</t>
        </is>
      </c>
      <c r="C6" t="inlineStr"/>
      <c r="D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</t>
        </is>
      </c>
      <c r="B1" t="inlineStr">
        <is>
          <t>Fórmula</t>
        </is>
      </c>
    </row>
    <row r="2">
      <c r="A2" t="inlineStr">
        <is>
          <t>Faturamento Total</t>
        </is>
      </c>
      <c r="B2">
        <f>SUM(Produtos!D2:D6)</f>
        <v/>
      </c>
    </row>
    <row r="3">
      <c r="A3" t="inlineStr">
        <is>
          <t>Custo Total</t>
        </is>
      </c>
      <c r="B3">
        <f>SUM(Produtos!C2:C6)</f>
        <v/>
      </c>
    </row>
    <row r="4">
      <c r="A4" t="inlineStr">
        <is>
          <t>Lucro Total</t>
        </is>
      </c>
      <c r="B4">
        <f>SUM(Produtos!E2:E6)</f>
        <v/>
      </c>
    </row>
    <row r="5">
      <c r="A5" t="inlineStr">
        <is>
          <t>Margem Média</t>
        </is>
      </c>
      <c r="B5">
        <f>IF(SUM(Produtos!D2:D6)&gt;0,(SUM(Produtos!E2:E6)/SUM(Produtos!D2:D6))*100,0)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2026-04-15T17:17:22Z</dcterms:created>
  <dcterms:modified xmlns:dcterms="http://purl.org/dc/terms/" xmlns:xsi="http://www.w3.org/2001/XMLSchema-instance" xsi:type="dcterms:W3CDTF">2026-04-15T17:17:22Z</dcterms:modified>
</cp:coreProperties>
</file>