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\Downloads\"/>
    </mc:Choice>
  </mc:AlternateContent>
  <bookViews>
    <workbookView xWindow="0" yWindow="0" windowWidth="23040" windowHeight="9072"/>
  </bookViews>
  <sheets>
    <sheet name="Produtos" sheetId="1" r:id="rId1"/>
    <sheet name="Insumos" sheetId="2" r:id="rId2"/>
    <sheet name="Ficha Técnica" sheetId="3" r:id="rId3"/>
    <sheet name="Indicadores" sheetId="4" r:id="rId4"/>
  </sheets>
  <calcPr calcId="162913"/>
</workbook>
</file>

<file path=xl/calcChain.xml><?xml version="1.0" encoding="utf-8"?>
<calcChain xmlns="http://schemas.openxmlformats.org/spreadsheetml/2006/main">
  <c r="B3" i="4" l="1"/>
  <c r="B2" i="4"/>
  <c r="G6" i="1"/>
  <c r="F6" i="1"/>
  <c r="E6" i="1"/>
  <c r="G5" i="1"/>
  <c r="E5" i="1"/>
  <c r="F5" i="1" s="1"/>
  <c r="G4" i="1"/>
  <c r="E4" i="1"/>
  <c r="F4" i="1" s="1"/>
  <c r="G3" i="1"/>
  <c r="E3" i="1"/>
  <c r="B5" i="4" s="1"/>
  <c r="G2" i="1"/>
  <c r="F2" i="1"/>
  <c r="E2" i="1"/>
  <c r="F3" i="1" l="1"/>
  <c r="B4" i="4"/>
</calcChain>
</file>

<file path=xl/sharedStrings.xml><?xml version="1.0" encoding="utf-8"?>
<sst xmlns="http://schemas.openxmlformats.org/spreadsheetml/2006/main" count="68" uniqueCount="44">
  <si>
    <t>Produto</t>
  </si>
  <si>
    <t>Categoria</t>
  </si>
  <si>
    <t>Custo (R$)</t>
  </si>
  <si>
    <t>Preço Venda (R$)</t>
  </si>
  <si>
    <t>Lucro (R$)</t>
  </si>
  <si>
    <t>Margem (%)</t>
  </si>
  <si>
    <t>Preço Sugerido (60%)</t>
  </si>
  <si>
    <t>Café Expresso Curto</t>
  </si>
  <si>
    <t>Bebida quente</t>
  </si>
  <si>
    <t>Pão de Queijo Tradicional</t>
  </si>
  <si>
    <t>Salgado</t>
  </si>
  <si>
    <t>Cappuccino Italiano</t>
  </si>
  <si>
    <t>Água com Gás Prata</t>
  </si>
  <si>
    <t>Bebida fria</t>
  </si>
  <si>
    <t>Bolo de Cenoura (Fatia)</t>
  </si>
  <si>
    <t>Sobremesa</t>
  </si>
  <si>
    <t>Insumo</t>
  </si>
  <si>
    <t>Unidade</t>
  </si>
  <si>
    <t>Custo Unitário (R$)</t>
  </si>
  <si>
    <t>Observação</t>
  </si>
  <si>
    <t>Café</t>
  </si>
  <si>
    <t>kg</t>
  </si>
  <si>
    <t>médio padrão</t>
  </si>
  <si>
    <t>Leite</t>
  </si>
  <si>
    <t>L</t>
  </si>
  <si>
    <t>Queijo</t>
  </si>
  <si>
    <t>Açúcar</t>
  </si>
  <si>
    <t>Farinha</t>
  </si>
  <si>
    <t>Chocolate</t>
  </si>
  <si>
    <t>Quantidade</t>
  </si>
  <si>
    <t>Custo Estimado</t>
  </si>
  <si>
    <t>18g</t>
  </si>
  <si>
    <t>Água</t>
  </si>
  <si>
    <t>30ml</t>
  </si>
  <si>
    <t>30g</t>
  </si>
  <si>
    <t>40g</t>
  </si>
  <si>
    <t>200ml</t>
  </si>
  <si>
    <t>80g</t>
  </si>
  <si>
    <t>Indicador</t>
  </si>
  <si>
    <t>Fórmula</t>
  </si>
  <si>
    <t>Faturamento Total</t>
  </si>
  <si>
    <t>Custo Total</t>
  </si>
  <si>
    <t>Lucro Total</t>
  </si>
  <si>
    <t>Margem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</si>
</sst>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2" borderId="0" xfId="1" applyNumberFormat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4" sqref="F14"/>
    </sheetView>
  </sheetViews>
  <sheetFormatPr defaultRowHeight="14.4" x14ac:dyDescent="0.3"/>
  <cols>
    <col min="1" max="1" width="26.5546875" bestFit="1" customWidth="1"/>
    <col min="2" max="2" width="15.109375" bestFit="1" customWidth="1"/>
    <col min="3" max="3" width="11.6640625" style="2" bestFit="1" customWidth="1"/>
    <col min="4" max="4" width="18.88671875" style="2" bestFit="1" customWidth="1"/>
    <col min="5" max="5" width="9.21875" style="2" bestFit="1" customWidth="1"/>
    <col min="6" max="6" width="13.44140625" style="1" bestFit="1" customWidth="1"/>
    <col min="7" max="7" width="23.109375" style="2" bestFit="1" customWidth="1"/>
  </cols>
  <sheetData>
    <row r="1" spans="1:7" s="6" customFormat="1" ht="15.6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</row>
    <row r="2" spans="1:7" s="3" customFormat="1" ht="15" x14ac:dyDescent="0.25">
      <c r="A2" s="3" t="s">
        <v>7</v>
      </c>
      <c r="B2" s="3" t="s">
        <v>8</v>
      </c>
      <c r="C2" s="4">
        <v>2</v>
      </c>
      <c r="D2" s="4">
        <v>6</v>
      </c>
      <c r="E2" s="4">
        <f>D2-C2</f>
        <v>4</v>
      </c>
      <c r="F2" s="5">
        <f>IF(D2&gt;0,(E2/D2)*100,0)</f>
        <v>66.666666666666657</v>
      </c>
      <c r="G2" s="4">
        <f>IF(C2&gt;0,C2/(1-0.6),0)</f>
        <v>5</v>
      </c>
    </row>
    <row r="3" spans="1:7" s="3" customFormat="1" ht="15" x14ac:dyDescent="0.25">
      <c r="A3" s="3" t="s">
        <v>9</v>
      </c>
      <c r="B3" s="3" t="s">
        <v>10</v>
      </c>
      <c r="C3" s="4">
        <v>1.8</v>
      </c>
      <c r="D3" s="4">
        <v>5.5</v>
      </c>
      <c r="E3" s="4">
        <f>D3-C3</f>
        <v>3.7</v>
      </c>
      <c r="F3" s="5">
        <f>IF(D3&gt;0,(E3/D3)*100,0)</f>
        <v>67.272727272727266</v>
      </c>
      <c r="G3" s="4">
        <f>IF(C3&gt;0,C3/(1-0.6),0)</f>
        <v>4.5</v>
      </c>
    </row>
    <row r="4" spans="1:7" s="3" customFormat="1" ht="15" x14ac:dyDescent="0.25">
      <c r="A4" s="3" t="s">
        <v>11</v>
      </c>
      <c r="B4" s="3" t="s">
        <v>8</v>
      </c>
      <c r="C4" s="4">
        <v>4.5</v>
      </c>
      <c r="D4" s="4">
        <v>12</v>
      </c>
      <c r="E4" s="4">
        <f>D4-C4</f>
        <v>7.5</v>
      </c>
      <c r="F4" s="5">
        <f>IF(D4&gt;0,(E4/D4)*100,0)</f>
        <v>62.5</v>
      </c>
      <c r="G4" s="4">
        <f>IF(C4&gt;0,C4/(1-0.6),0)</f>
        <v>11.25</v>
      </c>
    </row>
    <row r="5" spans="1:7" s="3" customFormat="1" ht="15" x14ac:dyDescent="0.25">
      <c r="A5" s="3" t="s">
        <v>12</v>
      </c>
      <c r="B5" s="3" t="s">
        <v>13</v>
      </c>
      <c r="C5" s="4">
        <v>1.2</v>
      </c>
      <c r="D5" s="4">
        <v>4.5</v>
      </c>
      <c r="E5" s="4">
        <f>D5-C5</f>
        <v>3.3</v>
      </c>
      <c r="F5" s="5">
        <f>IF(D5&gt;0,(E5/D5)*100,0)</f>
        <v>73.333333333333329</v>
      </c>
      <c r="G5" s="4">
        <f>IF(C5&gt;0,C5/(1-0.6),0)</f>
        <v>2.9999999999999996</v>
      </c>
    </row>
    <row r="6" spans="1:7" s="3" customFormat="1" ht="15" x14ac:dyDescent="0.25">
      <c r="A6" s="3" t="s">
        <v>14</v>
      </c>
      <c r="B6" s="3" t="s">
        <v>15</v>
      </c>
      <c r="C6" s="4">
        <v>3</v>
      </c>
      <c r="D6" s="4">
        <v>9</v>
      </c>
      <c r="E6" s="4">
        <f>D6-C6</f>
        <v>6</v>
      </c>
      <c r="F6" s="5">
        <f>IF(D6&gt;0,(E6/D6)*100,0)</f>
        <v>66.666666666666657</v>
      </c>
      <c r="G6" s="4">
        <f>IF(C6&gt;0,C6/(1-0.6),0)</f>
        <v>7.5</v>
      </c>
    </row>
    <row r="7" spans="1:7" s="3" customFormat="1" ht="15" x14ac:dyDescent="0.25">
      <c r="C7" s="4"/>
      <c r="D7" s="4"/>
      <c r="E7" s="4"/>
      <c r="F7" s="5"/>
      <c r="G7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12" sqref="C12"/>
    </sheetView>
  </sheetViews>
  <sheetFormatPr defaultRowHeight="14.4" x14ac:dyDescent="0.3"/>
  <cols>
    <col min="1" max="1" width="10.77734375" bestFit="1" customWidth="1"/>
    <col min="2" max="2" width="9.5546875" bestFit="1" customWidth="1"/>
    <col min="3" max="3" width="21.44140625" bestFit="1" customWidth="1"/>
    <col min="4" max="4" width="14.5546875" bestFit="1" customWidth="1"/>
  </cols>
  <sheetData>
    <row r="1" spans="1:4" ht="15.6" x14ac:dyDescent="0.3">
      <c r="A1" s="6" t="s">
        <v>16</v>
      </c>
      <c r="B1" s="6" t="s">
        <v>17</v>
      </c>
      <c r="C1" s="7" t="s">
        <v>18</v>
      </c>
      <c r="D1" s="7" t="s">
        <v>19</v>
      </c>
    </row>
    <row r="2" spans="1:4" ht="15.6" x14ac:dyDescent="0.3">
      <c r="A2" s="3" t="s">
        <v>20</v>
      </c>
      <c r="B2" s="3" t="s">
        <v>21</v>
      </c>
      <c r="C2" s="4">
        <v>45</v>
      </c>
      <c r="D2" s="4" t="s">
        <v>22</v>
      </c>
    </row>
    <row r="3" spans="1:4" ht="15.6" x14ac:dyDescent="0.3">
      <c r="A3" s="3" t="s">
        <v>23</v>
      </c>
      <c r="B3" s="3" t="s">
        <v>24</v>
      </c>
      <c r="C3" s="4">
        <v>4.2</v>
      </c>
      <c r="D3" s="4"/>
    </row>
    <row r="4" spans="1:4" ht="15.6" x14ac:dyDescent="0.3">
      <c r="A4" s="3" t="s">
        <v>25</v>
      </c>
      <c r="B4" s="3" t="s">
        <v>21</v>
      </c>
      <c r="C4" s="4">
        <v>32</v>
      </c>
      <c r="D4" s="4"/>
    </row>
    <row r="5" spans="1:4" ht="15.6" x14ac:dyDescent="0.3">
      <c r="A5" s="3" t="s">
        <v>26</v>
      </c>
      <c r="B5" s="3" t="s">
        <v>21</v>
      </c>
      <c r="C5" s="4">
        <v>5</v>
      </c>
      <c r="D5" s="4"/>
    </row>
    <row r="6" spans="1:4" ht="15.6" x14ac:dyDescent="0.3">
      <c r="A6" s="3" t="s">
        <v>27</v>
      </c>
      <c r="B6" s="3" t="s">
        <v>21</v>
      </c>
      <c r="C6" s="4">
        <v>6.5</v>
      </c>
      <c r="D6" s="4"/>
    </row>
    <row r="7" spans="1:4" ht="15.6" x14ac:dyDescent="0.3">
      <c r="A7" s="3" t="s">
        <v>28</v>
      </c>
      <c r="B7" s="3" t="s">
        <v>21</v>
      </c>
      <c r="C7" s="4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G22" sqref="G22"/>
    </sheetView>
  </sheetViews>
  <sheetFormatPr defaultRowHeight="14.4" x14ac:dyDescent="0.3"/>
  <cols>
    <col min="1" max="1" width="26.5546875" bestFit="1" customWidth="1"/>
    <col min="2" max="2" width="10.77734375" bestFit="1" customWidth="1"/>
    <col min="3" max="3" width="13.21875" bestFit="1" customWidth="1"/>
    <col min="4" max="4" width="17.88671875" bestFit="1" customWidth="1"/>
  </cols>
  <sheetData>
    <row r="1" spans="1:4" ht="15.6" x14ac:dyDescent="0.3">
      <c r="A1" s="6" t="s">
        <v>0</v>
      </c>
      <c r="B1" s="6" t="s">
        <v>16</v>
      </c>
      <c r="C1" s="7" t="s">
        <v>29</v>
      </c>
      <c r="D1" s="7" t="s">
        <v>30</v>
      </c>
    </row>
    <row r="2" spans="1:4" ht="15.6" x14ac:dyDescent="0.3">
      <c r="A2" s="3" t="s">
        <v>7</v>
      </c>
      <c r="B2" s="3" t="s">
        <v>20</v>
      </c>
      <c r="C2" s="4" t="s">
        <v>31</v>
      </c>
      <c r="D2" s="4">
        <v>0.8</v>
      </c>
    </row>
    <row r="3" spans="1:4" ht="15.6" x14ac:dyDescent="0.3">
      <c r="A3" s="3" t="s">
        <v>7</v>
      </c>
      <c r="B3" s="3" t="s">
        <v>32</v>
      </c>
      <c r="C3" s="4" t="s">
        <v>33</v>
      </c>
      <c r="D3" s="4">
        <v>0.05</v>
      </c>
    </row>
    <row r="4" spans="1:4" ht="15.6" x14ac:dyDescent="0.3">
      <c r="A4" s="3" t="s">
        <v>9</v>
      </c>
      <c r="B4" s="3" t="s">
        <v>25</v>
      </c>
      <c r="C4" s="4" t="s">
        <v>34</v>
      </c>
      <c r="D4" s="4">
        <v>0.6</v>
      </c>
    </row>
    <row r="5" spans="1:4" ht="15.6" x14ac:dyDescent="0.3">
      <c r="A5" s="3" t="s">
        <v>9</v>
      </c>
      <c r="B5" s="3" t="s">
        <v>27</v>
      </c>
      <c r="C5" s="4" t="s">
        <v>35</v>
      </c>
      <c r="D5" s="4">
        <v>0.3</v>
      </c>
    </row>
    <row r="6" spans="1:4" ht="15.6" x14ac:dyDescent="0.3">
      <c r="A6" s="3" t="s">
        <v>11</v>
      </c>
      <c r="B6" s="3" t="s">
        <v>20</v>
      </c>
      <c r="C6" s="4" t="s">
        <v>31</v>
      </c>
      <c r="D6" s="4">
        <v>0.8</v>
      </c>
    </row>
    <row r="7" spans="1:4" ht="15.6" x14ac:dyDescent="0.3">
      <c r="A7" s="3" t="s">
        <v>11</v>
      </c>
      <c r="B7" s="3" t="s">
        <v>23</v>
      </c>
      <c r="C7" s="4" t="s">
        <v>36</v>
      </c>
      <c r="D7" s="4">
        <v>0.9</v>
      </c>
    </row>
    <row r="8" spans="1:4" ht="15.6" x14ac:dyDescent="0.3">
      <c r="A8" s="3" t="s">
        <v>14</v>
      </c>
      <c r="B8" s="3" t="s">
        <v>27</v>
      </c>
      <c r="C8" s="4" t="s">
        <v>37</v>
      </c>
      <c r="D8" s="4">
        <v>0.25</v>
      </c>
    </row>
    <row r="9" spans="1:4" ht="15.6" x14ac:dyDescent="0.3">
      <c r="A9" s="3" t="s">
        <v>14</v>
      </c>
      <c r="B9" s="3" t="s">
        <v>28</v>
      </c>
      <c r="C9" s="4" t="s">
        <v>34</v>
      </c>
      <c r="D9" s="4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4.4" x14ac:dyDescent="0.3"/>
  <cols>
    <col min="1" max="1" width="19.109375" bestFit="1" customWidth="1"/>
    <col min="2" max="2" width="14.5546875" bestFit="1" customWidth="1"/>
  </cols>
  <sheetData>
    <row r="1" spans="1:2" ht="15.6" x14ac:dyDescent="0.3">
      <c r="A1" s="6" t="s">
        <v>38</v>
      </c>
      <c r="B1" s="6" t="s">
        <v>39</v>
      </c>
    </row>
    <row r="2" spans="1:2" ht="15.6" x14ac:dyDescent="0.3">
      <c r="A2" s="3" t="s">
        <v>40</v>
      </c>
      <c r="B2" s="3">
        <f>SUM(Produtos!D2:D6)</f>
        <v>37</v>
      </c>
    </row>
    <row r="3" spans="1:2" ht="15.6" x14ac:dyDescent="0.3">
      <c r="A3" s="3" t="s">
        <v>41</v>
      </c>
      <c r="B3" s="3">
        <f>SUM(Produtos!C2:C6)</f>
        <v>12.5</v>
      </c>
    </row>
    <row r="4" spans="1:2" ht="15.6" x14ac:dyDescent="0.3">
      <c r="A4" s="3" t="s">
        <v>42</v>
      </c>
      <c r="B4" s="3">
        <f>SUM(Produtos!E2:E6)</f>
        <v>24.5</v>
      </c>
    </row>
    <row r="5" spans="1:2" ht="15.6" x14ac:dyDescent="0.3">
      <c r="A5" s="3" t="s">
        <v>43</v>
      </c>
      <c r="B5" s="3">
        <f>IF(SUM(Produtos!D2:D6)&gt;0,(SUM(Produtos!E2:E6)/SUM(Produtos!D2:D6))*100,0)</f>
        <v>66.21621621621621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Insumos</vt:lpstr>
      <vt:lpstr>Ficha Técnica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2026-04-15T17:19:28Z</dcterms:created>
  <dcterms:modified xsi:type="dcterms:W3CDTF">2026-04-15T17:25:33Z</dcterms:modified>
</cp:coreProperties>
</file>